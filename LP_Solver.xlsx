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E536B5D-852D-4FE2-A78A-1EC2808825DB}" xr6:coauthVersionLast="47" xr6:coauthVersionMax="47" xr10:uidLastSave="{00000000-0000-0000-0000-000000000000}"/>
  <bookViews>
    <workbookView xWindow="-120" yWindow="-120" windowWidth="24240" windowHeight="13140" activeTab="1" xr2:uid="{665608A4-F603-42C9-B4F0-1D522F22C537}"/>
  </bookViews>
  <sheets>
    <sheet name="Question_Modeling" sheetId="2" r:id="rId1"/>
    <sheet name="LP_Solver" sheetId="3" r:id="rId2"/>
  </sheets>
  <externalReferences>
    <externalReference r:id="rId3"/>
  </externalReferences>
  <definedNames>
    <definedName name="Gross_Margin">#REF!</definedName>
    <definedName name="List">#REF!</definedName>
    <definedName name="MonthlyGoal">'[1]IF Function'!$I$2</definedName>
    <definedName name="solver_adj" localSheetId="1" hidden="1">LP_Solver!$B$5:$E$7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100</definedName>
    <definedName name="solver_itr" localSheetId="0" hidden="1">100</definedName>
    <definedName name="solver_lhs1" localSheetId="1" hidden="1">LP_Solver!$B$5:$E$5</definedName>
    <definedName name="solver_lhs1" localSheetId="0" hidden="1">Question_Modeling!$B$6:$E$6</definedName>
    <definedName name="solver_lhs2" localSheetId="1" hidden="1">LP_Solver!$B$5:$E$7</definedName>
    <definedName name="solver_lhs2" localSheetId="0" hidden="1">Question_Modeling!$E$8</definedName>
    <definedName name="solver_lhs3" localSheetId="1" hidden="1">LP_Solver!$B$6:$E$6</definedName>
    <definedName name="solver_lhs3" localSheetId="0" hidden="1">Question_Modeling!$E$8</definedName>
    <definedName name="solver_lhs4" localSheetId="1" hidden="1">LP_Solver!$B$7:$E$7</definedName>
    <definedName name="solver_lhs4" localSheetId="0" hidden="1">Question_Modeling!$E$8</definedName>
    <definedName name="solver_lhs5" localSheetId="1" hidden="1">LP_Solver!$B$8:$E$8</definedName>
    <definedName name="solver_lhs5" localSheetId="0" hidden="1">Question_Modeling!$E$8</definedName>
    <definedName name="solver_lhs6" localSheetId="1" hidden="1">LP_Solver!$E$8</definedName>
    <definedName name="solver_lhs6" localSheetId="0" hidden="1">Question_Modeling!$E$8</definedName>
    <definedName name="solver_lhs7" localSheetId="1" hidden="1">LP_Solver!$E$8</definedName>
    <definedName name="solver_lhs7" localSheetId="0" hidden="1">Question_Modeling!$E$8</definedName>
    <definedName name="solver_lhs8" localSheetId="1" hidden="1">LP_Solver!$E$8</definedName>
    <definedName name="solver_lhs8" localSheetId="0" hidden="1">Question_Modeling!$E$8</definedName>
    <definedName name="solver_lin" localSheetId="1" hidden="1">0</definedName>
    <definedName name="solver_lin" localSheetId="0" hidden="1">0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5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LP_Solver!$H$8</definedName>
    <definedName name="solver_opt" localSheetId="0" hidden="1">Question_Modeling!$H$8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1</definedName>
    <definedName name="solver_rel1" localSheetId="0" hidden="1">1</definedName>
    <definedName name="solver_rel2" localSheetId="1" hidden="1">3</definedName>
    <definedName name="solver_rel2" localSheetId="0" hidden="1">2</definedName>
    <definedName name="solver_rel3" localSheetId="1" hidden="1">1</definedName>
    <definedName name="solver_rel3" localSheetId="0" hidden="1">2</definedName>
    <definedName name="solver_rel4" localSheetId="1" hidden="1">1</definedName>
    <definedName name="solver_rel4" localSheetId="0" hidden="1">2</definedName>
    <definedName name="solver_rel5" localSheetId="1" hidden="1">2</definedName>
    <definedName name="solver_rel5" localSheetId="0" hidden="1">2</definedName>
    <definedName name="solver_rel6" localSheetId="1" hidden="1">2</definedName>
    <definedName name="solver_rel6" localSheetId="0" hidden="1">2</definedName>
    <definedName name="solver_rel7" localSheetId="1" hidden="1">2</definedName>
    <definedName name="solver_rel7" localSheetId="0" hidden="1">2</definedName>
    <definedName name="solver_rel8" localSheetId="1" hidden="1">2</definedName>
    <definedName name="solver_rel8" localSheetId="0" hidden="1">2</definedName>
    <definedName name="solver_rhs1" localSheetId="1" hidden="1">92</definedName>
    <definedName name="solver_rhs1" localSheetId="0" hidden="1">45</definedName>
    <definedName name="solver_rhs2" localSheetId="1" hidden="1">20</definedName>
    <definedName name="solver_rhs2" localSheetId="0" hidden="1">Question_Modeling!$E$10</definedName>
    <definedName name="solver_rhs3" localSheetId="1" hidden="1">45</definedName>
    <definedName name="solver_rhs3" localSheetId="0" hidden="1">Question_Modeling!$E$10</definedName>
    <definedName name="solver_rhs4" localSheetId="1" hidden="1">55</definedName>
    <definedName name="solver_rhs4" localSheetId="0" hidden="1">Question_Modeling!$E$10</definedName>
    <definedName name="solver_rhs5" localSheetId="1" hidden="1">LP_Solver!$B$10:$E$10</definedName>
    <definedName name="solver_rhs5" localSheetId="0" hidden="1">Question_Modeling!$E$10</definedName>
    <definedName name="solver_rhs6" localSheetId="1" hidden="1">LP_Solver!$E$10</definedName>
    <definedName name="solver_rhs6" localSheetId="0" hidden="1">Question_Modeling!$E$10</definedName>
    <definedName name="solver_rhs7" localSheetId="1" hidden="1">LP_Solver!$E$10</definedName>
    <definedName name="solver_rhs7" localSheetId="0" hidden="1">Question_Modeling!$E$10</definedName>
    <definedName name="solver_rhs8" localSheetId="1" hidden="1">LP_Solver!$E$10</definedName>
    <definedName name="solver_rhs8" localSheetId="0" hidden="1">Question_Modeling!$E$10</definedName>
    <definedName name="solver_rlx" localSheetId="1" hidden="1">1</definedName>
    <definedName name="solver_rlx" localSheetId="0" hidden="1">1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100</definedName>
    <definedName name="solver_tim" localSheetId="0" hidden="1">100</definedName>
    <definedName name="solver_tol" localSheetId="1" hidden="1">0.05</definedName>
    <definedName name="solver_tol" localSheetId="0" hidden="1">0.05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  <definedName name="Week_1">'[1]IF Function'!$B$5:$B$9</definedName>
    <definedName name="Week_2">'[1]IF Function'!$C$5:$C$9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D8" i="3"/>
  <c r="C8" i="3"/>
  <c r="B8" i="3"/>
  <c r="H7" i="3"/>
  <c r="H6" i="3"/>
  <c r="H5" i="3"/>
  <c r="H8" i="3" l="1"/>
  <c r="H5" i="2"/>
  <c r="H8" i="2" s="1"/>
  <c r="H6" i="2"/>
  <c r="H7" i="2"/>
  <c r="B8" i="2"/>
  <c r="C8" i="2"/>
  <c r="D8" i="2"/>
  <c r="E8" i="2"/>
</calcChain>
</file>

<file path=xl/sharedStrings.xml><?xml version="1.0" encoding="utf-8"?>
<sst xmlns="http://schemas.openxmlformats.org/spreadsheetml/2006/main" count="28" uniqueCount="13">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</sst>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Gill Sans MT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u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1" fontId="1" fillId="0" borderId="0" xfId="1" applyNumberFormat="1"/>
    <xf numFmtId="0" fontId="1" fillId="0" borderId="0" xfId="1"/>
    <xf numFmtId="1" fontId="2" fillId="0" borderId="0" xfId="1" applyNumberFormat="1" applyFont="1"/>
    <xf numFmtId="1" fontId="3" fillId="2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/>
    <xf numFmtId="1" fontId="2" fillId="0" borderId="1" xfId="2" applyNumberFormat="1" applyFont="1" applyFill="1" applyBorder="1" applyAlignment="1"/>
    <xf numFmtId="1" fontId="2" fillId="0" borderId="1" xfId="1" applyNumberFormat="1" applyFont="1" applyBorder="1"/>
    <xf numFmtId="44" fontId="3" fillId="2" borderId="1" xfId="1" applyNumberFormat="1" applyFont="1" applyFill="1" applyBorder="1"/>
    <xf numFmtId="1" fontId="1" fillId="0" borderId="1" xfId="1" applyNumberFormat="1" applyBorder="1"/>
    <xf numFmtId="1" fontId="3" fillId="4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right"/>
    </xf>
    <xf numFmtId="44" fontId="1" fillId="0" borderId="1" xfId="2" applyBorder="1"/>
    <xf numFmtId="44" fontId="3" fillId="0" borderId="1" xfId="2" applyFont="1" applyBorder="1"/>
    <xf numFmtId="1" fontId="3" fillId="0" borderId="1" xfId="1" applyNumberFormat="1" applyFont="1" applyBorder="1" applyAlignment="1">
      <alignment horizontal="center"/>
    </xf>
    <xf numFmtId="1" fontId="2" fillId="5" borderId="1" xfId="1" applyNumberFormat="1" applyFont="1" applyFill="1" applyBorder="1" applyAlignment="1">
      <alignment horizontal="right"/>
    </xf>
    <xf numFmtId="1" fontId="3" fillId="0" borderId="1" xfId="2" applyNumberFormat="1" applyFont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right"/>
    </xf>
    <xf numFmtId="1" fontId="2" fillId="0" borderId="1" xfId="1" quotePrefix="1" applyNumberFormat="1" applyFont="1" applyBorder="1"/>
    <xf numFmtId="1" fontId="4" fillId="3" borderId="4" xfId="1" applyNumberFormat="1" applyFont="1" applyFill="1" applyBorder="1" applyAlignment="1">
      <alignment horizontal="center"/>
    </xf>
    <xf numFmtId="1" fontId="4" fillId="3" borderId="5" xfId="2" applyNumberFormat="1" applyFont="1" applyFill="1" applyBorder="1" applyAlignment="1">
      <alignment horizontal="center"/>
    </xf>
    <xf numFmtId="1" fontId="1" fillId="0" borderId="0" xfId="1" applyNumberFormat="1" applyAlignment="1">
      <alignment horizontal="centerContinuous"/>
    </xf>
    <xf numFmtId="1" fontId="5" fillId="0" borderId="0" xfId="1" applyNumberFormat="1" applyFont="1" applyAlignment="1">
      <alignment horizontal="centerContinuous"/>
    </xf>
  </cellXfs>
  <cellStyles count="3">
    <cellStyle name="Currency 2" xfId="2" xr:uid="{78E1A58E-255C-4868-AA60-28DFC84435B3}"/>
    <cellStyle name="Normal" xfId="0" builtinId="0"/>
    <cellStyle name="Normal 3" xfId="1" xr:uid="{14678623-0640-4BB5-8F72-545129A3A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FE3EF56F-34FC-4912-BA82-8D60D6F7A6DC}"/>
            </a:ext>
          </a:extLst>
        </xdr:cNvPr>
        <xdr:cNvSpPr txBox="1">
          <a:spLocks noChangeArrowheads="1"/>
        </xdr:cNvSpPr>
      </xdr:nvSpPr>
      <xdr:spPr bwMode="auto">
        <a:xfrm>
          <a:off x="314325" y="1790700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A18CDD6F-28BD-4011-8B40-B83C12E24D0C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6677025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Paragon\Zarak%20Data%20Analytics%20Course\1%20%20Microsoft%20Excel%20From%20Beginner%20to%20Advanced\21.%20Microsoft%20Excel%20103%20Course%20Introduction\1.1%20Excel103-AdvancedExercises.xlsx.xlsx" TargetMode="External"/><Relationship Id="rId1" Type="http://schemas.openxmlformats.org/officeDocument/2006/relationships/externalLinkPath" Target="Paragon/Zarak%20Data%20Analytics%20Course/1%20%20Microsoft%20Excel%20From%20Beginner%20to%20Advanced/21.%20Microsoft%20Excel%20103%20Course%20Introduction/1.1%20Excel103-AdvancedExercises.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 Function"/>
      <sheetName val="SUMIF Function"/>
      <sheetName val="VLOOKUP Function"/>
      <sheetName val="Master Employee List"/>
      <sheetName val="HLOOKUP Function"/>
      <sheetName val="Master Inventory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</sheetNames>
    <sheetDataSet>
      <sheetData sheetId="0">
        <row r="2">
          <cell r="I2">
            <v>34000</v>
          </cell>
        </row>
        <row r="5">
          <cell r="B5">
            <v>9550</v>
          </cell>
          <cell r="C5">
            <v>9230</v>
          </cell>
        </row>
        <row r="6">
          <cell r="B6">
            <v>5975</v>
          </cell>
          <cell r="C6">
            <v>6900</v>
          </cell>
        </row>
        <row r="7">
          <cell r="B7">
            <v>7425</v>
          </cell>
          <cell r="C7">
            <v>8580</v>
          </cell>
        </row>
        <row r="8">
          <cell r="B8">
            <v>9560</v>
          </cell>
          <cell r="C8">
            <v>10150</v>
          </cell>
        </row>
        <row r="9">
          <cell r="B9">
            <v>7892</v>
          </cell>
          <cell r="C9">
            <v>7695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DFF3-3D3D-4E61-B0D3-265A890FB392}">
  <dimension ref="A1:H11"/>
  <sheetViews>
    <sheetView zoomScale="130" zoomScaleNormal="130" workbookViewId="0">
      <selection activeCell="D21" sqref="D21"/>
    </sheetView>
  </sheetViews>
  <sheetFormatPr defaultRowHeight="12.75" x14ac:dyDescent="0.2"/>
  <cols>
    <col min="1" max="1" width="22.25" style="1" customWidth="1"/>
    <col min="2" max="2" width="8.875" style="1" customWidth="1"/>
    <col min="3" max="3" width="9.25" style="1" customWidth="1"/>
    <col min="4" max="4" width="9" style="1" customWidth="1"/>
    <col min="5" max="5" width="8.125" style="1" customWidth="1"/>
    <col min="6" max="6" width="7.75" style="1" customWidth="1"/>
    <col min="7" max="7" width="9.875" style="1" customWidth="1"/>
    <col min="8" max="8" width="13.75" style="1" customWidth="1"/>
    <col min="9" max="16384" width="9" style="1"/>
  </cols>
  <sheetData>
    <row r="1" spans="1:8" ht="10.5" customHeight="1" x14ac:dyDescent="0.25">
      <c r="A1" s="24"/>
      <c r="B1" s="23"/>
      <c r="C1" s="23"/>
      <c r="D1" s="23"/>
      <c r="E1" s="23"/>
      <c r="F1" s="23"/>
      <c r="G1" s="23"/>
    </row>
    <row r="2" spans="1:8" ht="11.25" customHeight="1" thickBot="1" x14ac:dyDescent="0.25"/>
    <row r="3" spans="1:8" ht="15.75" customHeight="1" x14ac:dyDescent="0.25">
      <c r="G3" s="22" t="s">
        <v>5</v>
      </c>
      <c r="H3" s="21" t="s">
        <v>12</v>
      </c>
    </row>
    <row r="4" spans="1:8" ht="16.5" thickBot="1" x14ac:dyDescent="0.3">
      <c r="A4" s="20" t="s">
        <v>11</v>
      </c>
      <c r="B4" s="19" t="s">
        <v>10</v>
      </c>
      <c r="C4" s="19" t="s">
        <v>9</v>
      </c>
      <c r="D4" s="19" t="s">
        <v>8</v>
      </c>
      <c r="E4" s="19" t="s">
        <v>7</v>
      </c>
      <c r="F4" s="2"/>
      <c r="G4" s="18" t="s">
        <v>6</v>
      </c>
      <c r="H4" s="17" t="s">
        <v>5</v>
      </c>
    </row>
    <row r="5" spans="1:8" ht="15.75" x14ac:dyDescent="0.25">
      <c r="A5" s="15" t="s">
        <v>4</v>
      </c>
      <c r="B5" s="14">
        <v>1</v>
      </c>
      <c r="C5" s="14">
        <v>1</v>
      </c>
      <c r="D5" s="14">
        <v>1</v>
      </c>
      <c r="E5" s="14">
        <v>1</v>
      </c>
      <c r="F5" s="2"/>
      <c r="G5" s="13">
        <v>1.25</v>
      </c>
      <c r="H5" s="12">
        <f>G5*(B5+C5+D5+E5)</f>
        <v>5</v>
      </c>
    </row>
    <row r="6" spans="1:8" ht="15.75" x14ac:dyDescent="0.25">
      <c r="A6" s="15" t="s">
        <v>3</v>
      </c>
      <c r="B6" s="16"/>
      <c r="C6" s="14"/>
      <c r="D6" s="14"/>
      <c r="E6" s="14"/>
      <c r="F6" s="2"/>
      <c r="G6" s="13">
        <v>1.84</v>
      </c>
      <c r="H6" s="12">
        <f>G6*(B6+C6+D6+E6)</f>
        <v>0</v>
      </c>
    </row>
    <row r="7" spans="1:8" ht="15.75" x14ac:dyDescent="0.25">
      <c r="A7" s="15" t="s">
        <v>2</v>
      </c>
      <c r="B7" s="14"/>
      <c r="C7" s="14"/>
      <c r="D7" s="14"/>
      <c r="E7" s="14"/>
      <c r="F7" s="2"/>
      <c r="G7" s="13">
        <v>1.45</v>
      </c>
      <c r="H7" s="12">
        <f>G7*(B7+C7+D7+E7)</f>
        <v>0</v>
      </c>
    </row>
    <row r="8" spans="1:8" ht="15.75" x14ac:dyDescent="0.25">
      <c r="A8" s="11" t="s">
        <v>1</v>
      </c>
      <c r="B8" s="10">
        <f>SUM(B5:B7)</f>
        <v>1</v>
      </c>
      <c r="C8" s="10">
        <f>SUM(C5:C7)</f>
        <v>1</v>
      </c>
      <c r="D8" s="10">
        <f>SUM(D5:D7)</f>
        <v>1</v>
      </c>
      <c r="E8" s="10">
        <f>SUM(E5:E7)</f>
        <v>1</v>
      </c>
      <c r="F8" s="2"/>
      <c r="G8" s="9"/>
      <c r="H8" s="8">
        <f>H5+H6+H7</f>
        <v>5</v>
      </c>
    </row>
    <row r="9" spans="1:8" ht="4.5" customHeight="1" x14ac:dyDescent="0.25">
      <c r="A9" s="7"/>
      <c r="B9" s="6"/>
      <c r="C9" s="6"/>
      <c r="D9" s="6"/>
      <c r="E9" s="6"/>
      <c r="F9" s="2"/>
    </row>
    <row r="10" spans="1:8" ht="15.75" x14ac:dyDescent="0.25">
      <c r="A10" s="5" t="s">
        <v>0</v>
      </c>
      <c r="B10" s="4">
        <v>180</v>
      </c>
      <c r="C10" s="4">
        <v>80</v>
      </c>
      <c r="D10" s="4">
        <v>190</v>
      </c>
      <c r="E10" s="4">
        <v>160</v>
      </c>
      <c r="F10" s="2"/>
    </row>
    <row r="11" spans="1:8" ht="15.75" x14ac:dyDescent="0.25">
      <c r="A11" s="3"/>
      <c r="F11" s="2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F85F-A349-4739-BD31-C776FA5BB797}">
  <dimension ref="A1:H11"/>
  <sheetViews>
    <sheetView tabSelected="1" zoomScale="130" zoomScaleNormal="130" workbookViewId="0">
      <selection activeCell="J10" sqref="J10"/>
    </sheetView>
  </sheetViews>
  <sheetFormatPr defaultRowHeight="12.75" x14ac:dyDescent="0.2"/>
  <cols>
    <col min="1" max="1" width="22.25" style="1" customWidth="1"/>
    <col min="2" max="2" width="8.875" style="1" customWidth="1"/>
    <col min="3" max="3" width="9.25" style="1" customWidth="1"/>
    <col min="4" max="4" width="9" style="1" customWidth="1"/>
    <col min="5" max="5" width="8.125" style="1" customWidth="1"/>
    <col min="6" max="6" width="7.75" style="1" customWidth="1"/>
    <col min="7" max="7" width="9.875" style="1" customWidth="1"/>
    <col min="8" max="8" width="13.75" style="1" customWidth="1"/>
    <col min="9" max="16384" width="9" style="1"/>
  </cols>
  <sheetData>
    <row r="1" spans="1:8" ht="10.5" customHeight="1" x14ac:dyDescent="0.25">
      <c r="A1" s="24"/>
      <c r="B1" s="23"/>
      <c r="C1" s="23"/>
      <c r="D1" s="23"/>
      <c r="E1" s="23"/>
      <c r="F1" s="23"/>
      <c r="G1" s="23"/>
    </row>
    <row r="2" spans="1:8" ht="11.25" customHeight="1" thickBot="1" x14ac:dyDescent="0.25"/>
    <row r="3" spans="1:8" ht="15.75" customHeight="1" x14ac:dyDescent="0.25">
      <c r="G3" s="22" t="s">
        <v>5</v>
      </c>
      <c r="H3" s="21" t="s">
        <v>12</v>
      </c>
    </row>
    <row r="4" spans="1:8" ht="16.5" thickBot="1" x14ac:dyDescent="0.3">
      <c r="A4" s="20" t="s">
        <v>11</v>
      </c>
      <c r="B4" s="19" t="s">
        <v>10</v>
      </c>
      <c r="C4" s="19" t="s">
        <v>9</v>
      </c>
      <c r="D4" s="19" t="s">
        <v>8</v>
      </c>
      <c r="E4" s="19" t="s">
        <v>7</v>
      </c>
      <c r="F4" s="2"/>
      <c r="G4" s="18" t="s">
        <v>6</v>
      </c>
      <c r="H4" s="17" t="s">
        <v>5</v>
      </c>
    </row>
    <row r="5" spans="1:8" ht="15.75" x14ac:dyDescent="0.25">
      <c r="A5" s="15" t="s">
        <v>4</v>
      </c>
      <c r="B5" s="14">
        <v>92</v>
      </c>
      <c r="C5" s="14">
        <v>39.999999999999993</v>
      </c>
      <c r="D5" s="14">
        <v>92</v>
      </c>
      <c r="E5" s="14">
        <v>92</v>
      </c>
      <c r="F5" s="2"/>
      <c r="G5" s="13">
        <v>1.25</v>
      </c>
      <c r="H5" s="12">
        <f>G5*(B5+C5+D5+E5)</f>
        <v>395</v>
      </c>
    </row>
    <row r="6" spans="1:8" ht="15.75" x14ac:dyDescent="0.25">
      <c r="A6" s="15" t="s">
        <v>3</v>
      </c>
      <c r="B6" s="16">
        <v>32.999999999999986</v>
      </c>
      <c r="C6" s="14">
        <v>20</v>
      </c>
      <c r="D6" s="14">
        <v>43.000000000000007</v>
      </c>
      <c r="E6" s="14">
        <v>20</v>
      </c>
      <c r="F6" s="2"/>
      <c r="G6" s="13">
        <v>1.84</v>
      </c>
      <c r="H6" s="12">
        <f>G6*(B6+C6+D6+E6)</f>
        <v>213.44</v>
      </c>
    </row>
    <row r="7" spans="1:8" ht="15.75" x14ac:dyDescent="0.25">
      <c r="A7" s="15" t="s">
        <v>2</v>
      </c>
      <c r="B7" s="14">
        <v>55</v>
      </c>
      <c r="C7" s="14">
        <v>20</v>
      </c>
      <c r="D7" s="14">
        <v>55</v>
      </c>
      <c r="E7" s="14">
        <v>48</v>
      </c>
      <c r="F7" s="2"/>
      <c r="G7" s="13">
        <v>1.45</v>
      </c>
      <c r="H7" s="12">
        <f>G7*(B7+C7+D7+E7)</f>
        <v>258.09999999999997</v>
      </c>
    </row>
    <row r="8" spans="1:8" ht="15.75" x14ac:dyDescent="0.25">
      <c r="A8" s="11" t="s">
        <v>1</v>
      </c>
      <c r="B8" s="10">
        <f>SUM(B5:B7)</f>
        <v>180</v>
      </c>
      <c r="C8" s="10">
        <f>SUM(C5:C7)</f>
        <v>80</v>
      </c>
      <c r="D8" s="10">
        <f>SUM(D5:D7)</f>
        <v>190</v>
      </c>
      <c r="E8" s="10">
        <f>SUM(E5:E7)</f>
        <v>160</v>
      </c>
      <c r="F8" s="2"/>
      <c r="G8" s="9"/>
      <c r="H8" s="8">
        <f>H5+H6+H7</f>
        <v>866.54</v>
      </c>
    </row>
    <row r="9" spans="1:8" ht="4.5" customHeight="1" x14ac:dyDescent="0.25">
      <c r="A9" s="7"/>
      <c r="B9" s="6"/>
      <c r="C9" s="6"/>
      <c r="D9" s="6"/>
      <c r="E9" s="6"/>
      <c r="F9" s="2"/>
    </row>
    <row r="10" spans="1:8" ht="15.75" x14ac:dyDescent="0.25">
      <c r="A10" s="5" t="s">
        <v>0</v>
      </c>
      <c r="B10" s="4">
        <v>180</v>
      </c>
      <c r="C10" s="4">
        <v>80</v>
      </c>
      <c r="D10" s="4">
        <v>190</v>
      </c>
      <c r="E10" s="4">
        <v>160</v>
      </c>
      <c r="F10" s="2"/>
    </row>
    <row r="11" spans="1:8" ht="15.75" x14ac:dyDescent="0.25">
      <c r="A11" s="3"/>
      <c r="F11" s="2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Question_Modeling</vt:lpstr>
      <vt:lpstr>LP_Solver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Supply Chain</dc:creator>
  <cp:lastModifiedBy>Intern Supply Chain</cp:lastModifiedBy>
  <dcterms:created xsi:type="dcterms:W3CDTF">2026-08-12T13:29:32Z</dcterms:created>
  <dcterms:modified xsi:type="dcterms:W3CDTF">2026-08-12T14:20:17Z</dcterms:modified>
</cp:coreProperties>
</file>